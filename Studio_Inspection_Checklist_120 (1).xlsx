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لخص العام" sheetId="1" r:id="rId5"/>
    <sheet state="visible" name="Studio-101" sheetId="2" r:id="rId6"/>
    <sheet state="visible" name="نسخة من Studio-101" sheetId="3" r:id="rId7"/>
  </sheets>
  <definedNames/>
  <calcPr/>
</workbook>
</file>

<file path=xl/sharedStrings.xml><?xml version="1.0" encoding="utf-8"?>
<sst xmlns="http://schemas.openxmlformats.org/spreadsheetml/2006/main" count="223" uniqueCount="60">
  <si>
    <t>لوحة التحكم والملخص التنفيذي - مشروع 120 استوديو</t>
  </si>
  <si>
    <t>رقم الاستوديو</t>
  </si>
  <si>
    <t>الدور / الموقع</t>
  </si>
  <si>
    <t>موقع الوحدة بالمبنى</t>
  </si>
  <si>
    <t>حالة المطبخ الإجمالية</t>
  </si>
  <si>
    <t>حالة الخزانة الإجمالية</t>
  </si>
  <si>
    <t>الحالة الإجمالية للوحدة</t>
  </si>
  <si>
    <t>رابط تفاصيل المعاينة</t>
  </si>
  <si>
    <t>Studio-101</t>
  </si>
  <si>
    <t>الدور الأول</t>
  </si>
  <si>
    <t>شمالي شرقي</t>
  </si>
  <si>
    <t>Studio-102</t>
  </si>
  <si>
    <t>شمالي غربي</t>
  </si>
  <si>
    <t>Studio-103</t>
  </si>
  <si>
    <t>إطلالة المسبح</t>
  </si>
  <si>
    <t>Studio-104</t>
  </si>
  <si>
    <t>واجهة خلفية</t>
  </si>
  <si>
    <t>Studio-105</t>
  </si>
  <si>
    <t>واجهة جانبية</t>
  </si>
  <si>
    <t>تقرير الفحص الفني الميداني والمعاينة التفصيلية</t>
  </si>
  <si>
    <t>رقم الاستوديو:</t>
  </si>
  <si>
    <t>الموقع / الدور:</t>
  </si>
  <si>
    <t>الدور الأرضي</t>
  </si>
  <si>
    <t>المفتش المسؤول:</t>
  </si>
  <si>
    <t>مهندس الموقع</t>
  </si>
  <si>
    <t>تاريخ الفحص:</t>
  </si>
  <si>
    <t>2026-07-19</t>
  </si>
  <si>
    <t>بند الفحص الفني</t>
  </si>
  <si>
    <t>عنصر التدقيق والمواصفة المطلوبة</t>
  </si>
  <si>
    <t>تقييم الحالة</t>
  </si>
  <si>
    <t>تفاصيل الملاحظات والعيوب</t>
  </si>
  <si>
    <t>صورة المعاينة (من كاميرا الآيباد)</t>
  </si>
  <si>
    <t>المطبخ</t>
  </si>
  <si>
    <t>النظافة</t>
  </si>
  <si>
    <t>[مقبول]</t>
  </si>
  <si>
    <t>(اضغط إدراج صورة)</t>
  </si>
  <si>
    <t>الخدوش والرتووش والتلقيطات</t>
  </si>
  <si>
    <t>وزنيات الادراج والضلف</t>
  </si>
  <si>
    <t xml:space="preserve">سلامة المفصلات </t>
  </si>
  <si>
    <t>ملاحظات</t>
  </si>
  <si>
    <t>قطع او اكسسوارات مفقودة او ناقصة</t>
  </si>
  <si>
    <t>مرفوض</t>
  </si>
  <si>
    <t xml:space="preserve">انحناء او ترخيم في الالواح </t>
  </si>
  <si>
    <t>لم يتم الفحص</t>
  </si>
  <si>
    <t>النتيجة الإجمالية للمطبخ:</t>
  </si>
  <si>
    <t>[اختر النتيجة من القائمة المنسدلة: مقبول / ملاحظات]</t>
  </si>
  <si>
    <t>نغم</t>
  </si>
  <si>
    <t>2. خزانة الملابس</t>
  </si>
  <si>
    <t>تثبيت الهيكل وقوائم الخزانة الرأسية مع الجدار والأرضية بشكل محكم ومتزن وعمل السدادات.</t>
  </si>
  <si>
    <t>عدم الاغلاق الكامل للابواب السحاب</t>
  </si>
  <si>
    <t xml:space="preserve">ترخيم وترييح في اسفل الخزانة </t>
  </si>
  <si>
    <r>
      <rPr>
        <rFont val="Arial"/>
        <color rgb="FF000000"/>
        <sz val="11.0"/>
      </rPr>
      <t xml:space="preserve">الوزنيات واستقامة </t>
    </r>
    <r>
      <rPr>
        <rFont val="Arial"/>
        <b/>
        <color rgb="FF000000"/>
        <sz val="11.0"/>
      </rPr>
      <t>الأبواب</t>
    </r>
    <r>
      <rPr>
        <rFont val="Arial"/>
        <color rgb="FF000000"/>
        <sz val="11.0"/>
      </rPr>
      <t xml:space="preserve">  وإغلاقها التام دون وجود فراغات متفاوتة.</t>
    </r>
  </si>
  <si>
    <r>
      <rPr>
        <rFont val="Arial"/>
        <color rgb="FF000000"/>
        <sz val="11.0"/>
      </rPr>
      <t xml:space="preserve">الوزنيات واستقامة </t>
    </r>
    <r>
      <rPr>
        <rFont val="Arial"/>
        <b/>
        <color rgb="FF000000"/>
        <sz val="11.0"/>
      </rPr>
      <t>الأدراج</t>
    </r>
    <r>
      <rPr>
        <rFont val="Arial"/>
        <color rgb="FF000000"/>
        <sz val="11.0"/>
      </rPr>
      <t xml:space="preserve"> وإغلاقها التام دون وجود فراغات متفاوتة.</t>
    </r>
  </si>
  <si>
    <t>الخدوش والرتووش والتلقيطات والنهايات</t>
  </si>
  <si>
    <t>الإكسسوارات الداخلية: تثبيت أعمدة التعليق، الأرفف</t>
  </si>
  <si>
    <t>نظام الإضاءة الداخلية: عمل الحساسات الذكية (Sensors) فور فتح الأبواب وتشغيل الإنارة بكفاءة.</t>
  </si>
  <si>
    <t>النتيجة الإجمالية للخزانة:</t>
  </si>
  <si>
    <t>مرفوضة</t>
  </si>
  <si>
    <r>
      <rPr>
        <rFont val="Arial"/>
        <color rgb="FF000000"/>
        <sz val="11.0"/>
      </rPr>
      <t xml:space="preserve">الوزنيات واستقامة </t>
    </r>
    <r>
      <rPr>
        <rFont val="Arial"/>
        <b/>
        <color rgb="FF000000"/>
        <sz val="11.0"/>
      </rPr>
      <t>الأبواب</t>
    </r>
    <r>
      <rPr>
        <rFont val="Arial"/>
        <color rgb="FF000000"/>
        <sz val="11.0"/>
      </rPr>
      <t xml:space="preserve">  وإغلاقها التام دون وجود فراغات متفاوتة.</t>
    </r>
  </si>
  <si>
    <r>
      <rPr>
        <rFont val="Arial"/>
        <color rgb="FF000000"/>
        <sz val="11.0"/>
      </rPr>
      <t xml:space="preserve">الوزنيات واستقامة </t>
    </r>
    <r>
      <rPr>
        <rFont val="Arial"/>
        <b/>
        <color rgb="FF000000"/>
        <sz val="11.0"/>
      </rPr>
      <t>الأدراج</t>
    </r>
    <r>
      <rPr>
        <rFont val="Arial"/>
        <color rgb="FF000000"/>
        <sz val="11.0"/>
      </rPr>
      <t xml:space="preserve"> وإغلاقها التام دون وجود فراغات متفاوتة.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</si>
</sst>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rgb="FFFFFFFF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b/>
      <sz val="11.0"/>
      <color rgb="FF000000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7F7F7F"/>
        <bgColor rgb="FF7F7F7F"/>
      </patternFill>
    </fill>
    <fill>
      <patternFill patternType="solid">
        <fgColor rgb="FFDCE6F1"/>
        <bgColor rgb="FFDCE6F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horizontal="right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right" shrinkToFit="0" vertical="center" wrapText="1"/>
    </xf>
    <xf borderId="4" fillId="5" fontId="7" numFmtId="0" xfId="0" applyAlignment="1" applyBorder="1" applyFill="1" applyFont="1">
      <alignment readingOrder="0"/>
    </xf>
    <xf borderId="4" fillId="5" fontId="8" numFmtId="0" xfId="0" applyAlignment="1" applyBorder="1" applyFont="1">
      <alignment readingOrder="0"/>
    </xf>
    <xf borderId="4" fillId="5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16.0"/>
    <col customWidth="1" min="3" max="3" width="20.0"/>
    <col customWidth="1" min="4" max="5" width="22.0"/>
    <col customWidth="1" min="6" max="7" width="24.0"/>
    <col customWidth="1" min="8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3"/>
    </row>
    <row r="3" ht="27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24.0" customHeight="1">
      <c r="A4" s="5" t="s">
        <v>8</v>
      </c>
      <c r="B4" s="6" t="s">
        <v>9</v>
      </c>
      <c r="C4" s="6" t="s">
        <v>10</v>
      </c>
      <c r="D4" s="5" t="str">
        <f>IFERROR('Studio-101'!C20, "لم يُفحص بعد")</f>
        <v>[مقبول]</v>
      </c>
      <c r="E4" s="5" t="str">
        <f>IFERROR('Studio-101'!C34, "لم يُفحص بعد")</f>
        <v/>
      </c>
      <c r="F4" s="5" t="str">
        <f t="shared" ref="F4:F8" si="1">IF(AND(D4="مقبول", E4="مقبول"), "جاهز للاستلام", "معلق / تحت التعديل")</f>
        <v>معلق / تحت التعديل</v>
      </c>
      <c r="G4" s="7" t="str">
        <f>HYPERLINK("#sheet="&amp;A4, "اضغط للانتقال للمعاينة ↗")</f>
        <v>اضغط للانتقال للمعاينة ↗</v>
      </c>
    </row>
    <row r="5" ht="24.0" customHeight="1">
      <c r="A5" s="8" t="s">
        <v>11</v>
      </c>
      <c r="B5" s="9" t="s">
        <v>9</v>
      </c>
      <c r="C5" s="9" t="s">
        <v>12</v>
      </c>
      <c r="D5" s="8" t="str">
        <f>IFERROR('[1]Studio-102'!C14, "لم يُفحص بعد")</f>
        <v>لم يُفحص بعد</v>
      </c>
      <c r="E5" s="8" t="str">
        <f>IFERROR('[1]Studio-102'!C23, "لم يُفحص بعد")</f>
        <v>لم يُفحص بعد</v>
      </c>
      <c r="F5" s="8" t="str">
        <f t="shared" si="1"/>
        <v>معلق / تحت التعديل</v>
      </c>
      <c r="G5" s="10" t="str">
        <f>HYPERLINK("#'Studio-102'!A1", "اضغط للانتقال للمعاينة ↗")</f>
        <v>اضغط للانتقال للمعاينة ↗</v>
      </c>
    </row>
    <row r="6" ht="24.0" customHeight="1">
      <c r="A6" s="5" t="s">
        <v>13</v>
      </c>
      <c r="B6" s="6" t="s">
        <v>9</v>
      </c>
      <c r="C6" s="6" t="s">
        <v>14</v>
      </c>
      <c r="D6" s="5" t="str">
        <f>IFERROR('[2]Studio-103'!C14, "لم يُفحص بعد")</f>
        <v>لم يُفحص بعد</v>
      </c>
      <c r="E6" s="5" t="str">
        <f>IFERROR('[2]Studio-103'!C23, "لم يُفحص بعد")</f>
        <v>لم يُفحص بعد</v>
      </c>
      <c r="F6" s="5" t="str">
        <f t="shared" si="1"/>
        <v>معلق / تحت التعديل</v>
      </c>
      <c r="G6" s="7" t="str">
        <f>HYPERLINK("#'Studio-103'!A1", "اضغط للانتقال للمعاينة ↗")</f>
        <v>اضغط للانتقال للمعاينة ↗</v>
      </c>
    </row>
    <row r="7" ht="24.0" customHeight="1">
      <c r="A7" s="8" t="s">
        <v>15</v>
      </c>
      <c r="B7" s="9" t="s">
        <v>9</v>
      </c>
      <c r="C7" s="9" t="s">
        <v>16</v>
      </c>
      <c r="D7" s="8" t="str">
        <f>IFERROR('[3]Studio-104'!C14, "لم يُفحص بعد")</f>
        <v>لم يُفحص بعد</v>
      </c>
      <c r="E7" s="8" t="str">
        <f>IFERROR('[3]Studio-104'!C23, "لم يُفحص بعد")</f>
        <v>لم يُفحص بعد</v>
      </c>
      <c r="F7" s="8" t="str">
        <f t="shared" si="1"/>
        <v>معلق / تحت التعديل</v>
      </c>
      <c r="G7" s="10" t="str">
        <f>HYPERLINK("#'Studio-104'!A1", "اضغط للانتقال للمعاينة ↗")</f>
        <v>اضغط للانتقال للمعاينة ↗</v>
      </c>
    </row>
    <row r="8" ht="24.0" customHeight="1">
      <c r="A8" s="5" t="s">
        <v>17</v>
      </c>
      <c r="B8" s="6" t="s">
        <v>9</v>
      </c>
      <c r="C8" s="6" t="s">
        <v>18</v>
      </c>
      <c r="D8" s="5" t="str">
        <f>IFERROR('[4]Studio-105'!C14, "لم يُفحص بعد")</f>
        <v>لم يُفحص بعد</v>
      </c>
      <c r="E8" s="5" t="str">
        <f>IFERROR('[4]Studio-105'!C23, "لم يُفحص بعد")</f>
        <v>لم يُفحص بعد</v>
      </c>
      <c r="F8" s="5" t="str">
        <f t="shared" si="1"/>
        <v>معلق / تحت التعديل</v>
      </c>
      <c r="G8" s="7" t="str">
        <f>HYPERLINK("#'Studio-105'!A1", "اضغط للانتقال للمعاينة ↗")</f>
        <v>اضغط للانتقال للمعاينة ↗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5.0"/>
    <col customWidth="1" min="2" max="2" width="45.0"/>
    <col customWidth="1" min="3" max="3" width="18.0"/>
    <col customWidth="1" min="4" max="5" width="25.0"/>
    <col customWidth="1" min="6" max="26" width="8.71"/>
  </cols>
  <sheetData>
    <row r="1" ht="34.5" customHeight="1">
      <c r="A1" s="11" t="s">
        <v>19</v>
      </c>
      <c r="B1" s="2"/>
      <c r="C1" s="2"/>
      <c r="D1" s="2"/>
      <c r="E1" s="3"/>
    </row>
    <row r="2" ht="19.5" customHeight="1">
      <c r="A2" s="12" t="s">
        <v>20</v>
      </c>
      <c r="B2" s="13" t="s">
        <v>8</v>
      </c>
      <c r="C2" s="12" t="s">
        <v>21</v>
      </c>
      <c r="D2" s="14" t="s">
        <v>22</v>
      </c>
    </row>
    <row r="3" ht="19.5" customHeight="1">
      <c r="A3" s="12" t="s">
        <v>23</v>
      </c>
      <c r="B3" s="14" t="s">
        <v>24</v>
      </c>
      <c r="C3" s="12" t="s">
        <v>25</v>
      </c>
      <c r="D3" s="13" t="s">
        <v>26</v>
      </c>
    </row>
    <row r="5" ht="25.5" customHeight="1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</row>
    <row r="6" ht="25.5" customHeight="1">
      <c r="A6" s="9" t="s">
        <v>32</v>
      </c>
      <c r="B6" s="15" t="s">
        <v>33</v>
      </c>
      <c r="C6" s="16" t="s">
        <v>34</v>
      </c>
      <c r="D6" s="17"/>
      <c r="E6" s="16" t="s">
        <v>35</v>
      </c>
    </row>
    <row r="7" ht="25.5" customHeight="1">
      <c r="A7" s="9" t="s">
        <v>32</v>
      </c>
      <c r="B7" s="15" t="s">
        <v>36</v>
      </c>
      <c r="C7" s="18" t="s">
        <v>34</v>
      </c>
      <c r="D7" s="17"/>
      <c r="E7" s="16" t="s">
        <v>35</v>
      </c>
    </row>
    <row r="8" ht="25.5" customHeight="1">
      <c r="A8" s="9" t="s">
        <v>32</v>
      </c>
      <c r="B8" s="15" t="s">
        <v>37</v>
      </c>
      <c r="C8" s="18" t="s">
        <v>34</v>
      </c>
      <c r="D8" s="17"/>
      <c r="E8" s="16" t="s">
        <v>35</v>
      </c>
    </row>
    <row r="9" ht="25.5" customHeight="1">
      <c r="A9" s="9" t="s">
        <v>32</v>
      </c>
      <c r="B9" s="15" t="s">
        <v>38</v>
      </c>
      <c r="C9" s="18" t="s">
        <v>39</v>
      </c>
      <c r="D9" s="17"/>
      <c r="E9" s="19" t="s">
        <v>35</v>
      </c>
    </row>
    <row r="10" ht="25.5" customHeight="1">
      <c r="A10" s="9" t="s">
        <v>32</v>
      </c>
      <c r="B10" s="15" t="s">
        <v>40</v>
      </c>
      <c r="C10" s="18" t="s">
        <v>41</v>
      </c>
      <c r="D10" s="17"/>
      <c r="E10" s="16" t="s">
        <v>35</v>
      </c>
    </row>
    <row r="11" ht="25.5" customHeight="1">
      <c r="A11" s="9" t="s">
        <v>32</v>
      </c>
      <c r="B11" s="15" t="s">
        <v>42</v>
      </c>
      <c r="C11" s="18" t="s">
        <v>34</v>
      </c>
      <c r="D11" s="17"/>
      <c r="E11" s="16" t="s">
        <v>35</v>
      </c>
    </row>
    <row r="12" ht="25.5" customHeight="1">
      <c r="A12" s="9" t="s">
        <v>32</v>
      </c>
      <c r="B12" s="20"/>
      <c r="C12" s="18" t="s">
        <v>43</v>
      </c>
      <c r="D12" s="17"/>
      <c r="E12" s="16" t="s">
        <v>35</v>
      </c>
    </row>
    <row r="13" ht="25.5" customHeight="1">
      <c r="A13" s="9" t="s">
        <v>32</v>
      </c>
      <c r="B13" s="20"/>
      <c r="C13" s="18" t="s">
        <v>43</v>
      </c>
      <c r="D13" s="17"/>
      <c r="E13" s="16" t="s">
        <v>35</v>
      </c>
    </row>
    <row r="14" ht="25.5" customHeight="1">
      <c r="A14" s="9" t="s">
        <v>32</v>
      </c>
      <c r="B14" s="20"/>
      <c r="C14" s="18" t="s">
        <v>43</v>
      </c>
      <c r="D14" s="17"/>
      <c r="E14" s="16" t="s">
        <v>35</v>
      </c>
    </row>
    <row r="15" ht="25.5" customHeight="1">
      <c r="A15" s="9" t="s">
        <v>32</v>
      </c>
      <c r="B15" s="20"/>
      <c r="C15" s="18" t="s">
        <v>43</v>
      </c>
      <c r="D15" s="17"/>
      <c r="E15" s="16" t="s">
        <v>35</v>
      </c>
    </row>
    <row r="16" ht="25.5" customHeight="1">
      <c r="A16" s="21" t="s">
        <v>44</v>
      </c>
      <c r="B16" s="21" t="s">
        <v>45</v>
      </c>
      <c r="C16" s="22" t="s">
        <v>46</v>
      </c>
      <c r="D16" s="23"/>
      <c r="E16" s="23"/>
    </row>
    <row r="18" ht="25.5" customHeight="1">
      <c r="A18" s="9" t="s">
        <v>47</v>
      </c>
      <c r="B18" s="15" t="s">
        <v>48</v>
      </c>
      <c r="C18" s="16" t="s">
        <v>34</v>
      </c>
      <c r="D18" s="17"/>
      <c r="E18" s="16" t="s">
        <v>35</v>
      </c>
    </row>
    <row r="19" ht="25.5" customHeight="1">
      <c r="A19" s="9" t="s">
        <v>47</v>
      </c>
      <c r="B19" s="15" t="s">
        <v>49</v>
      </c>
      <c r="C19" s="16" t="s">
        <v>34</v>
      </c>
      <c r="D19" s="17"/>
      <c r="E19" s="16" t="s">
        <v>35</v>
      </c>
    </row>
    <row r="20" ht="25.5" customHeight="1">
      <c r="A20" s="9" t="s">
        <v>47</v>
      </c>
      <c r="B20" s="15" t="s">
        <v>50</v>
      </c>
      <c r="C20" s="16" t="s">
        <v>34</v>
      </c>
      <c r="D20" s="17"/>
      <c r="E20" s="16" t="s">
        <v>35</v>
      </c>
    </row>
    <row r="21" ht="25.5" customHeight="1">
      <c r="A21" s="9" t="s">
        <v>47</v>
      </c>
      <c r="B21" s="15" t="s">
        <v>51</v>
      </c>
      <c r="C21" s="16" t="s">
        <v>34</v>
      </c>
      <c r="D21" s="17"/>
      <c r="E21" s="16" t="s">
        <v>35</v>
      </c>
    </row>
    <row r="22" ht="25.5" customHeight="1">
      <c r="A22" s="9" t="s">
        <v>47</v>
      </c>
      <c r="B22" s="15" t="s">
        <v>52</v>
      </c>
      <c r="C22" s="16" t="s">
        <v>34</v>
      </c>
      <c r="D22" s="17"/>
      <c r="E22" s="16" t="s">
        <v>35</v>
      </c>
    </row>
    <row r="23" ht="25.5" customHeight="1">
      <c r="A23" s="9" t="s">
        <v>47</v>
      </c>
      <c r="B23" s="15" t="s">
        <v>53</v>
      </c>
      <c r="C23" s="16" t="s">
        <v>34</v>
      </c>
      <c r="D23" s="17"/>
      <c r="E23" s="16" t="s">
        <v>35</v>
      </c>
    </row>
    <row r="24" ht="15.75" customHeight="1">
      <c r="A24" s="9" t="s">
        <v>47</v>
      </c>
      <c r="B24" s="15" t="s">
        <v>54</v>
      </c>
      <c r="C24" s="16" t="s">
        <v>34</v>
      </c>
      <c r="D24" s="17"/>
      <c r="E24" s="16" t="s">
        <v>35</v>
      </c>
    </row>
    <row r="25" ht="25.5" customHeight="1">
      <c r="A25" s="9" t="s">
        <v>47</v>
      </c>
      <c r="B25" s="15" t="s">
        <v>55</v>
      </c>
      <c r="C25" s="16" t="s">
        <v>34</v>
      </c>
      <c r="D25" s="17"/>
      <c r="E25" s="16" t="s">
        <v>35</v>
      </c>
    </row>
    <row r="26" ht="25.5" customHeight="1">
      <c r="A26" s="9" t="s">
        <v>47</v>
      </c>
      <c r="B26" s="20"/>
      <c r="C26" s="16" t="s">
        <v>34</v>
      </c>
      <c r="D26" s="17"/>
      <c r="E26" s="16" t="s">
        <v>35</v>
      </c>
    </row>
    <row r="27" ht="25.5" customHeight="1">
      <c r="A27" s="9" t="s">
        <v>47</v>
      </c>
      <c r="B27" s="20"/>
      <c r="C27" s="16" t="s">
        <v>34</v>
      </c>
      <c r="D27" s="17"/>
      <c r="E27" s="16" t="s">
        <v>35</v>
      </c>
    </row>
    <row r="28" ht="25.5" customHeight="1">
      <c r="A28" s="9" t="s">
        <v>47</v>
      </c>
      <c r="B28" s="20"/>
      <c r="C28" s="16" t="s">
        <v>34</v>
      </c>
      <c r="D28" s="17"/>
      <c r="E28" s="16" t="s">
        <v>35</v>
      </c>
    </row>
    <row r="29" ht="25.5" customHeight="1">
      <c r="A29" s="9" t="s">
        <v>47</v>
      </c>
      <c r="B29" s="20"/>
      <c r="C29" s="16" t="s">
        <v>34</v>
      </c>
      <c r="D29" s="17"/>
      <c r="E29" s="16" t="s">
        <v>35</v>
      </c>
    </row>
    <row r="30" ht="25.5" customHeight="1">
      <c r="A30" s="21" t="s">
        <v>56</v>
      </c>
      <c r="B30" s="21" t="s">
        <v>45</v>
      </c>
      <c r="C30" s="22" t="s">
        <v>57</v>
      </c>
      <c r="D30" s="23"/>
      <c r="E30" s="2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howErrorMessage="1" sqref="C6:C15 C18">
      <formula1>"[مقبول],ملاحظات,مرفوض,لم يتم الفحص"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5.0"/>
    <col customWidth="1" min="2" max="2" width="45.0"/>
    <col customWidth="1" min="3" max="3" width="18.0"/>
    <col customWidth="1" min="4" max="5" width="25.0"/>
    <col customWidth="1" min="6" max="26" width="8.71"/>
  </cols>
  <sheetData>
    <row r="1" ht="34.5" customHeight="1">
      <c r="A1" s="11" t="s">
        <v>19</v>
      </c>
      <c r="B1" s="2"/>
      <c r="C1" s="2"/>
      <c r="D1" s="2"/>
      <c r="E1" s="3"/>
    </row>
    <row r="2" ht="19.5" customHeight="1">
      <c r="A2" s="12" t="s">
        <v>20</v>
      </c>
      <c r="B2" s="13" t="s">
        <v>8</v>
      </c>
      <c r="C2" s="12" t="s">
        <v>21</v>
      </c>
      <c r="D2" s="14" t="s">
        <v>22</v>
      </c>
    </row>
    <row r="3" ht="19.5" customHeight="1">
      <c r="A3" s="12" t="s">
        <v>23</v>
      </c>
      <c r="B3" s="14" t="s">
        <v>24</v>
      </c>
      <c r="C3" s="12" t="s">
        <v>25</v>
      </c>
      <c r="D3" s="13" t="s">
        <v>26</v>
      </c>
    </row>
    <row r="5" ht="25.5" customHeight="1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</row>
    <row r="6" ht="25.5" customHeight="1">
      <c r="A6" s="9" t="s">
        <v>32</v>
      </c>
      <c r="B6" s="15" t="s">
        <v>33</v>
      </c>
      <c r="C6" s="16" t="s">
        <v>34</v>
      </c>
      <c r="D6" s="17"/>
      <c r="E6" s="16" t="s">
        <v>35</v>
      </c>
    </row>
    <row r="7" ht="25.5" customHeight="1">
      <c r="A7" s="9" t="s">
        <v>32</v>
      </c>
      <c r="B7" s="15" t="s">
        <v>36</v>
      </c>
      <c r="C7" s="18" t="s">
        <v>34</v>
      </c>
      <c r="D7" s="17"/>
      <c r="E7" s="16" t="s">
        <v>35</v>
      </c>
    </row>
    <row r="8" ht="25.5" customHeight="1">
      <c r="A8" s="9" t="s">
        <v>32</v>
      </c>
      <c r="B8" s="15" t="s">
        <v>37</v>
      </c>
      <c r="C8" s="18" t="s">
        <v>34</v>
      </c>
      <c r="D8" s="17"/>
      <c r="E8" s="16" t="s">
        <v>35</v>
      </c>
    </row>
    <row r="9" ht="25.5" customHeight="1">
      <c r="A9" s="9" t="s">
        <v>32</v>
      </c>
      <c r="B9" s="15" t="s">
        <v>38</v>
      </c>
      <c r="C9" s="18" t="s">
        <v>39</v>
      </c>
      <c r="D9" s="17"/>
      <c r="E9" s="19" t="s">
        <v>35</v>
      </c>
    </row>
    <row r="10" ht="25.5" customHeight="1">
      <c r="A10" s="9" t="s">
        <v>32</v>
      </c>
      <c r="B10" s="15" t="s">
        <v>40</v>
      </c>
      <c r="C10" s="18" t="s">
        <v>41</v>
      </c>
      <c r="D10" s="17"/>
      <c r="E10" s="16" t="s">
        <v>35</v>
      </c>
    </row>
    <row r="11" ht="25.5" customHeight="1">
      <c r="A11" s="9" t="s">
        <v>32</v>
      </c>
      <c r="B11" s="15" t="s">
        <v>42</v>
      </c>
      <c r="C11" s="18" t="s">
        <v>34</v>
      </c>
      <c r="D11" s="17"/>
      <c r="E11" s="16" t="s">
        <v>35</v>
      </c>
    </row>
    <row r="12" ht="25.5" customHeight="1">
      <c r="A12" s="9" t="s">
        <v>32</v>
      </c>
      <c r="B12" s="20"/>
      <c r="C12" s="18" t="s">
        <v>43</v>
      </c>
      <c r="D12" s="17"/>
      <c r="E12" s="16" t="s">
        <v>35</v>
      </c>
    </row>
    <row r="13" ht="25.5" customHeight="1">
      <c r="A13" s="9" t="s">
        <v>32</v>
      </c>
      <c r="B13" s="20"/>
      <c r="C13" s="18" t="s">
        <v>43</v>
      </c>
      <c r="D13" s="17"/>
      <c r="E13" s="16" t="s">
        <v>35</v>
      </c>
    </row>
    <row r="14" ht="25.5" customHeight="1">
      <c r="A14" s="9" t="s">
        <v>32</v>
      </c>
      <c r="B14" s="20"/>
      <c r="C14" s="18" t="s">
        <v>43</v>
      </c>
      <c r="D14" s="17"/>
      <c r="E14" s="16" t="s">
        <v>35</v>
      </c>
    </row>
    <row r="15" ht="25.5" customHeight="1">
      <c r="A15" s="9" t="s">
        <v>32</v>
      </c>
      <c r="B15" s="20"/>
      <c r="C15" s="18" t="s">
        <v>43</v>
      </c>
      <c r="D15" s="17"/>
      <c r="E15" s="16" t="s">
        <v>35</v>
      </c>
    </row>
    <row r="16" ht="25.5" customHeight="1">
      <c r="A16" s="21" t="s">
        <v>44</v>
      </c>
      <c r="B16" s="21" t="s">
        <v>45</v>
      </c>
      <c r="C16" s="22" t="s">
        <v>46</v>
      </c>
      <c r="D16" s="23"/>
      <c r="E16" s="23"/>
    </row>
    <row r="18" ht="25.5" customHeight="1">
      <c r="A18" s="9" t="s">
        <v>47</v>
      </c>
      <c r="B18" s="15" t="s">
        <v>48</v>
      </c>
      <c r="C18" s="16" t="s">
        <v>34</v>
      </c>
      <c r="D18" s="17"/>
      <c r="E18" s="16" t="s">
        <v>35</v>
      </c>
    </row>
    <row r="19" ht="25.5" customHeight="1">
      <c r="A19" s="9" t="s">
        <v>47</v>
      </c>
      <c r="B19" s="15" t="s">
        <v>49</v>
      </c>
      <c r="C19" s="16" t="s">
        <v>34</v>
      </c>
      <c r="D19" s="17"/>
      <c r="E19" s="16" t="s">
        <v>35</v>
      </c>
    </row>
    <row r="20" ht="25.5" customHeight="1">
      <c r="A20" s="9" t="s">
        <v>47</v>
      </c>
      <c r="B20" s="15" t="s">
        <v>50</v>
      </c>
      <c r="C20" s="16" t="s">
        <v>34</v>
      </c>
      <c r="D20" s="17"/>
      <c r="E20" s="16" t="s">
        <v>35</v>
      </c>
    </row>
    <row r="21" ht="25.5" customHeight="1">
      <c r="A21" s="9" t="s">
        <v>47</v>
      </c>
      <c r="B21" s="15" t="s">
        <v>58</v>
      </c>
      <c r="C21" s="16" t="s">
        <v>34</v>
      </c>
      <c r="D21" s="17"/>
      <c r="E21" s="16" t="s">
        <v>35</v>
      </c>
    </row>
    <row r="22" ht="25.5" customHeight="1">
      <c r="A22" s="9" t="s">
        <v>47</v>
      </c>
      <c r="B22" s="15" t="s">
        <v>59</v>
      </c>
      <c r="C22" s="16" t="s">
        <v>34</v>
      </c>
      <c r="D22" s="17"/>
      <c r="E22" s="16" t="s">
        <v>35</v>
      </c>
    </row>
    <row r="23" ht="25.5" customHeight="1">
      <c r="A23" s="9" t="s">
        <v>47</v>
      </c>
      <c r="B23" s="15" t="s">
        <v>53</v>
      </c>
      <c r="C23" s="16" t="s">
        <v>34</v>
      </c>
      <c r="D23" s="17"/>
      <c r="E23" s="16" t="s">
        <v>35</v>
      </c>
    </row>
    <row r="24" ht="15.75" customHeight="1">
      <c r="A24" s="9" t="s">
        <v>47</v>
      </c>
      <c r="B24" s="15" t="s">
        <v>54</v>
      </c>
      <c r="C24" s="16" t="s">
        <v>34</v>
      </c>
      <c r="D24" s="17"/>
      <c r="E24" s="16" t="s">
        <v>35</v>
      </c>
    </row>
    <row r="25" ht="25.5" customHeight="1">
      <c r="A25" s="9" t="s">
        <v>47</v>
      </c>
      <c r="B25" s="15" t="s">
        <v>55</v>
      </c>
      <c r="C25" s="16" t="s">
        <v>34</v>
      </c>
      <c r="D25" s="17"/>
      <c r="E25" s="16" t="s">
        <v>35</v>
      </c>
    </row>
    <row r="26" ht="25.5" customHeight="1">
      <c r="A26" s="9" t="s">
        <v>47</v>
      </c>
      <c r="B26" s="20"/>
      <c r="C26" s="16" t="s">
        <v>34</v>
      </c>
      <c r="D26" s="17"/>
      <c r="E26" s="16" t="s">
        <v>35</v>
      </c>
    </row>
    <row r="27" ht="25.5" customHeight="1">
      <c r="A27" s="9" t="s">
        <v>47</v>
      </c>
      <c r="B27" s="20"/>
      <c r="C27" s="16" t="s">
        <v>34</v>
      </c>
      <c r="D27" s="17"/>
      <c r="E27" s="16" t="s">
        <v>35</v>
      </c>
    </row>
    <row r="28" ht="25.5" customHeight="1">
      <c r="A28" s="9" t="s">
        <v>47</v>
      </c>
      <c r="B28" s="20"/>
      <c r="C28" s="16" t="s">
        <v>34</v>
      </c>
      <c r="D28" s="17"/>
      <c r="E28" s="16" t="s">
        <v>35</v>
      </c>
    </row>
    <row r="29" ht="25.5" customHeight="1">
      <c r="A29" s="9" t="s">
        <v>47</v>
      </c>
      <c r="B29" s="20"/>
      <c r="C29" s="16" t="s">
        <v>34</v>
      </c>
      <c r="D29" s="17"/>
      <c r="E29" s="16" t="s">
        <v>35</v>
      </c>
    </row>
    <row r="30" ht="25.5" customHeight="1">
      <c r="A30" s="21" t="s">
        <v>56</v>
      </c>
      <c r="B30" s="21" t="s">
        <v>45</v>
      </c>
      <c r="C30" s="22" t="s">
        <v>57</v>
      </c>
      <c r="D30" s="23"/>
      <c r="E30" s="2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howErrorMessage="1" sqref="C6:C15 C18">
      <formula1>"[مقبول],ملاحظات,مرفوض,لم يتم الفحص"</formula1>
    </dataValidation>
  </dataValidations>
  <printOptions/>
  <pageMargins bottom="1.0" footer="0.0" header="0.0" left="0.75" right="0.75" top="1.0"/>
  <pageSetup paperSize="9" orientation="portrait"/>
  <drawing r:id="rId1"/>
</worksheet>
</file>